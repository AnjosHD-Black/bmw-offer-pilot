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Countries" sheetId="2" state="visible" r:id="rId2"/>
  </sheets>
  <definedNames>
    <definedName name="_xlnm.Print_Area" localSheetId="0">'Quotation'!$A$1:$E$184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0 &quot;€&quot;"/>
  </numFmts>
  <fonts count="12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sz val="8"/>
      <u val="single"/>
    </font>
    <font>
      <name val="Calibri"/>
      <sz val="6"/>
    </font>
    <font>
      <b val="1"/>
      <u val="single"/>
    </font>
    <font>
      <name val="Calibri"/>
      <sz val="9"/>
    </font>
    <font>
      <name val="Calibri"/>
      <sz val="8"/>
    </font>
    <font>
      <b val="1"/>
    </font>
    <font>
      <name val="Calibri"/>
      <color theme="1"/>
      <sz val="11"/>
    </font>
    <font>
      <name val="Calibri"/>
      <b val="1"/>
      <sz val="10"/>
      <u val="single"/>
    </font>
    <font>
      <name val="Calibri"/>
      <b val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/>
    <border>
      <bottom style="thin"/>
    </border>
    <border>
      <left style="thin"/>
      <right style="thin"/>
      <top style="thin"/>
      <bottom style="thin"/>
    </border>
    <border>
      <top style="thin"/>
    </border>
    <border>
      <left/>
      <right/>
      <top/>
      <bottom style="thin"/>
    </border>
    <border>
      <bottom style="double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</borders>
  <cellStyleXfs count="2">
    <xf numFmtId="0" fontId="0" fillId="0" borderId="0"/>
    <xf numFmtId="0" fontId="1" fillId="0" borderId="1"/>
  </cellStyleXfs>
  <cellXfs count="38">
    <xf numFmtId="0" fontId="0" fillId="0" borderId="0" pivotButton="0" quotePrefix="0" xfId="0"/>
    <xf numFmtId="0" fontId="9" fillId="0" borderId="2" pivotButton="0" quotePrefix="0" xfId="0"/>
    <xf numFmtId="0" fontId="2" fillId="0" borderId="2" pivotButton="0" quotePrefix="0" xfId="0"/>
    <xf numFmtId="0" fontId="9" fillId="0" borderId="0" pivotButton="0" quotePrefix="0" xfId="0"/>
    <xf numFmtId="0" fontId="9" fillId="0" borderId="3" pivotButton="0" quotePrefix="0" xfId="0"/>
    <xf numFmtId="164" fontId="9" fillId="0" borderId="3" pivotButton="0" quotePrefix="0" xfId="0"/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10" fillId="0" borderId="0" pivotButton="0" quotePrefix="0" xfId="0"/>
    <xf numFmtId="0" fontId="1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2" fontId="9" fillId="0" borderId="0" pivotButton="0" quotePrefix="0" xfId="0"/>
    <xf numFmtId="0" fontId="10" fillId="0" borderId="2" pivotButton="0" quotePrefix="0" xfId="0"/>
    <xf numFmtId="0" fontId="9" fillId="0" borderId="2" applyAlignment="1" pivotButton="0" quotePrefix="0" xfId="0">
      <alignment horizontal="center"/>
    </xf>
    <xf numFmtId="2" fontId="9" fillId="0" borderId="2" pivotButton="0" quotePrefix="0" xfId="0"/>
    <xf numFmtId="0" fontId="10" fillId="0" borderId="4" pivotButton="0" quotePrefix="0" xfId="0"/>
    <xf numFmtId="0" fontId="9" fillId="0" borderId="4" pivotButton="0" quotePrefix="0" xfId="0"/>
    <xf numFmtId="0" fontId="9" fillId="0" borderId="5" applyAlignment="1" pivotButton="0" quotePrefix="0" xfId="0">
      <alignment horizontal="left"/>
    </xf>
    <xf numFmtId="0" fontId="9" fillId="0" borderId="5" pivotButton="0" quotePrefix="0" xfId="0"/>
    <xf numFmtId="0" fontId="6" fillId="0" borderId="5" applyAlignment="1" pivotButton="0" quotePrefix="0" xfId="0">
      <alignment horizontal="right"/>
    </xf>
    <xf numFmtId="165" fontId="9" fillId="0" borderId="0" pivotButton="0" quotePrefix="0" xfId="0"/>
    <xf numFmtId="165" fontId="9" fillId="0" borderId="2" pivotButton="0" quotePrefix="0" xfId="0"/>
    <xf numFmtId="0" fontId="11" fillId="0" borderId="2" pivotButton="0" quotePrefix="0" xfId="0"/>
    <xf numFmtId="0" fontId="9" fillId="0" borderId="6" pivotButton="0" quotePrefix="0" xfId="0"/>
    <xf numFmtId="0" fontId="11" fillId="0" borderId="6" pivotButton="0" quotePrefix="0" xfId="0"/>
    <xf numFmtId="165" fontId="9" fillId="0" borderId="6" pivotButton="0" quotePrefix="0" xfId="0"/>
    <xf numFmtId="0" fontId="7" fillId="0" borderId="0" applyAlignment="1" pivotButton="0" quotePrefix="0" xfId="0">
      <alignment horizontal="left" vertical="top" wrapText="1" indent="1"/>
    </xf>
    <xf numFmtId="0" fontId="9" fillId="0" borderId="7" pivotButton="0" quotePrefix="0" xfId="0"/>
    <xf numFmtId="0" fontId="9" fillId="0" borderId="8" pivotButton="0" quotePrefix="0" xfId="0"/>
    <xf numFmtId="0" fontId="9" fillId="0" borderId="9" pivotButton="0" quotePrefix="0" xfId="0"/>
    <xf numFmtId="0" fontId="11" fillId="0" borderId="10" pivotButton="0" quotePrefix="0" xfId="0"/>
    <xf numFmtId="0" fontId="9" fillId="0" borderId="11" pivotButton="0" quotePrefix="0" xfId="0"/>
    <xf numFmtId="0" fontId="9" fillId="0" borderId="12" pivotButton="0" quotePrefix="0" xfId="0"/>
    <xf numFmtId="0" fontId="9" fillId="0" borderId="10" pivotButton="0" quotePrefix="0" xfId="0"/>
    <xf numFmtId="0" fontId="7" fillId="0" borderId="10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9" fillId="0" borderId="14" pivotButton="0" quotePrefix="0" xfId="0"/>
  </cellXfs>
  <cellStyles count="2">
    <cellStyle name="Normal" xfId="0" builtinId="0" hidden="0"/>
    <cellStyle name="calibri_default" xfId="1" hidden="0"/>
  </cellStyles>
  <dxfs count="2"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DEE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17.82" customWidth="1" min="1" max="1"/>
    <col width="11.82" customWidth="1" min="2" max="2"/>
    <col width="45.73" customWidth="1" min="3" max="3"/>
    <col width="16.64" customWidth="1" min="4" max="4"/>
    <col width="21.18" customWidth="1" min="5" max="5"/>
    <col width="17.36" customWidth="1" min="6" max="6"/>
  </cols>
  <sheetData>
    <row r="1" ht="18" customHeight="1">
      <c r="A1" s="1" t="n"/>
      <c r="B1" s="2" t="inlineStr">
        <is>
          <t>BMW 7</t>
        </is>
      </c>
      <c r="C1" s="1" t="n"/>
      <c r="D1" s="1" t="n"/>
      <c r="E1" s="1" t="inlineStr">
        <is>
          <t>20.02.2026</t>
        </is>
      </c>
      <c r="F1" s="1" t="n"/>
      <c r="G1" s="3" t="n"/>
      <c r="H1" s="3" t="n"/>
      <c r="I1" s="3" t="n"/>
      <c r="J1" s="3" t="n"/>
    </row>
    <row r="2" ht="18" customHeight="1">
      <c r="A2" s="3" t="inlineStr">
        <is>
          <t>Quotation</t>
        </is>
      </c>
      <c r="B2" s="3" t="inlineStr"/>
      <c r="C2" s="3" t="n"/>
      <c r="D2" s="3" t="n"/>
      <c r="E2" s="3">
        <f>J3</f>
        <v/>
      </c>
      <c r="F2" s="3" t="n"/>
      <c r="G2" s="3" t="n"/>
      <c r="H2" s="4" t="inlineStr">
        <is>
          <t>Prod. Date</t>
        </is>
      </c>
      <c r="I2" s="4" t="inlineStr">
        <is>
          <t>KW</t>
        </is>
      </c>
      <c r="J2" s="4" t="inlineStr">
        <is>
          <t>Country</t>
        </is>
      </c>
    </row>
    <row r="3" ht="18" customHeight="1">
      <c r="A3" s="3" t="inlineStr">
        <is>
          <t>Department</t>
        </is>
      </c>
      <c r="B3" s="3" t="inlineStr"/>
      <c r="C3" s="3" t="n"/>
      <c r="D3" s="3" t="n"/>
      <c r="E3" s="3" t="inlineStr"/>
      <c r="F3" s="3" t="n"/>
      <c r="G3" s="3" t="n"/>
      <c r="H3" s="5" t="inlineStr"/>
      <c r="I3" s="4">
        <f>WEEKNUM(H3,21)</f>
        <v/>
      </c>
      <c r="J3" s="4" t="inlineStr"/>
    </row>
    <row r="4" ht="18" customHeight="1">
      <c r="A4" s="3" t="inlineStr">
        <is>
          <t>Type</t>
        </is>
      </c>
      <c r="B4" s="3" t="inlineStr">
        <is>
          <t>X5</t>
        </is>
      </c>
      <c r="C4" s="3" t="n"/>
      <c r="D4" s="3" t="n"/>
      <c r="E4" s="3" t="n"/>
      <c r="F4" s="3" t="n"/>
      <c r="G4" s="3" t="n"/>
      <c r="H4" s="4" t="inlineStr">
        <is>
          <t>PAK</t>
        </is>
      </c>
      <c r="I4" s="4" t="inlineStr">
        <is>
          <t>Client</t>
        </is>
      </c>
      <c r="J4" s="3" t="n"/>
    </row>
    <row r="5" ht="18" customHeight="1">
      <c r="A5" s="3" t="inlineStr">
        <is>
          <t>Country</t>
        </is>
      </c>
      <c r="B5" s="3">
        <f>J3</f>
        <v/>
      </c>
      <c r="C5" s="3" t="n"/>
      <c r="D5" s="3" t="n"/>
      <c r="E5" s="3" t="n"/>
      <c r="F5" s="3" t="n"/>
      <c r="G5" s="3" t="n"/>
      <c r="H5" s="4">
        <f>IFERROR(VLOOKUP(J3,Countries!$A$2:$C$4,2,0),"")</f>
        <v/>
      </c>
      <c r="I5" s="4">
        <f>IFERROR(VLOOKUP(J3,Countries!$A$2:$C$4,3,0),"")</f>
        <v/>
      </c>
      <c r="J5" s="3" t="n"/>
    </row>
    <row r="6" ht="18" customHeight="1">
      <c r="A6" s="3" t="inlineStr">
        <is>
          <t>Model Year</t>
        </is>
      </c>
      <c r="B6" s="6">
        <f>YEAR(H3)</f>
        <v/>
      </c>
      <c r="C6" s="3" t="n"/>
      <c r="D6" s="3" t="n"/>
      <c r="E6" s="3" t="n"/>
      <c r="F6" s="3" t="n"/>
      <c r="G6" s="3" t="n"/>
      <c r="H6" s="4" t="inlineStr">
        <is>
          <t>8R3</t>
        </is>
      </c>
      <c r="I6" s="3" t="n"/>
      <c r="J6" s="3" t="n"/>
    </row>
    <row r="7" ht="18" customHeight="1">
      <c r="A7" s="3" t="inlineStr"/>
      <c r="B7" s="6" t="inlineStr"/>
      <c r="C7" s="3" t="n"/>
      <c r="D7" s="3" t="n"/>
      <c r="E7" s="6" t="inlineStr"/>
      <c r="F7" s="3" t="n"/>
      <c r="G7" s="3" t="n"/>
      <c r="H7" s="4">
        <f>IF(COUNTIF(B:B,"8R3")&gt;0,"OK","NOT OK")</f>
        <v/>
      </c>
      <c r="I7" s="3" t="n"/>
      <c r="J7" s="3" t="n"/>
    </row>
    <row r="8" ht="18" customHeight="1">
      <c r="A8" s="1" t="inlineStr">
        <is>
          <t>Vehicle Status</t>
        </is>
      </c>
      <c r="B8" s="1">
        <f>IF(H3&gt;TODAY(),"BTO","Stock")</f>
        <v/>
      </c>
      <c r="C8" s="1" t="n"/>
      <c r="D8" s="1" t="n"/>
      <c r="E8" s="1" t="n"/>
      <c r="F8" s="1" t="n"/>
      <c r="G8" s="3" t="n"/>
      <c r="H8" s="3" t="n"/>
      <c r="I8" s="3" t="n"/>
      <c r="J8" s="3" t="n"/>
    </row>
    <row r="9" ht="18" customHeight="1">
      <c r="A9" s="3" t="n"/>
      <c r="B9" s="3" t="n"/>
      <c r="C9" s="3" t="n"/>
      <c r="D9" s="7">
        <f>H5</f>
        <v/>
      </c>
      <c r="E9" s="8" t="inlineStr">
        <is>
          <t>Page 1</t>
        </is>
      </c>
      <c r="F9" s="3" t="n"/>
      <c r="G9" s="3" t="n"/>
      <c r="H9" s="3" t="n"/>
      <c r="I9" s="3" t="n"/>
      <c r="J9" s="3" t="n"/>
    </row>
    <row r="10" ht="18" customHeight="1">
      <c r="A10" s="3" t="n"/>
      <c r="B10" s="9" t="inlineStr">
        <is>
          <t>Option Code</t>
        </is>
      </c>
      <c r="C10" s="9" t="inlineStr">
        <is>
          <t>Description</t>
        </is>
      </c>
      <c r="D10" s="3" t="n"/>
      <c r="E10" s="10" t="inlineStr">
        <is>
          <t>Price</t>
        </is>
      </c>
      <c r="F10" s="10" t="n"/>
      <c r="G10" s="3" t="n"/>
      <c r="H10" s="3" t="n"/>
      <c r="I10" s="3" t="n"/>
      <c r="J10" s="3" t="n"/>
    </row>
    <row r="11" ht="16" customHeight="1">
      <c r="A11" s="9" t="inlineStr">
        <is>
          <t>Basic Vehicle</t>
        </is>
      </c>
      <c r="B11" s="11" t="inlineStr">
        <is>
          <t>66GR</t>
        </is>
      </c>
      <c r="C11" s="3" t="inlineStr">
        <is>
          <t>Basic Vehicle X5</t>
        </is>
      </c>
      <c r="D11" s="3" t="n"/>
      <c r="E11" s="12" t="n">
        <v>0</v>
      </c>
      <c r="F11" s="3" t="n"/>
      <c r="G11" s="3" t="n"/>
      <c r="H11" s="3" t="n"/>
      <c r="I11" s="3" t="n"/>
      <c r="J11" s="3" t="n"/>
    </row>
    <row r="12" ht="16" customHeight="1">
      <c r="A12" s="9" t="inlineStr">
        <is>
          <t>Exterior Color</t>
        </is>
      </c>
      <c r="B12" s="11" t="inlineStr">
        <is>
          <t>AGG</t>
        </is>
      </c>
      <c r="C12" s="3" t="inlineStr">
        <is>
          <t>Exterior Color Grey</t>
        </is>
      </c>
      <c r="D12" s="3" t="n"/>
      <c r="E12" s="12" t="n">
        <v>0</v>
      </c>
      <c r="F12" s="3" t="n"/>
      <c r="G12" s="3" t="n"/>
      <c r="H12" s="3" t="n"/>
      <c r="I12" s="3" t="n"/>
      <c r="J12" s="3" t="n"/>
    </row>
    <row r="13" ht="16" customHeight="1">
      <c r="A13" s="9" t="inlineStr">
        <is>
          <t>Interior Color</t>
        </is>
      </c>
      <c r="B13" s="11" t="inlineStr">
        <is>
          <t>IBB</t>
        </is>
      </c>
      <c r="C13" s="3" t="inlineStr">
        <is>
          <t>Interior Color Brown</t>
        </is>
      </c>
      <c r="D13" s="3" t="n"/>
      <c r="E13" s="12" t="n">
        <v>0</v>
      </c>
      <c r="F13" s="3" t="n"/>
      <c r="G13" s="3" t="n"/>
      <c r="H13" s="3" t="n"/>
      <c r="I13" s="3" t="n"/>
      <c r="J13" s="3" t="n"/>
    </row>
    <row r="14" ht="16" customHeight="1">
      <c r="A14" s="13" t="inlineStr">
        <is>
          <t>Interior Trim</t>
        </is>
      </c>
      <c r="B14" s="14" t="inlineStr">
        <is>
          <t>4JK</t>
        </is>
      </c>
      <c r="C14" s="1" t="inlineStr">
        <is>
          <t>Interior Trim Carbon</t>
        </is>
      </c>
      <c r="D14" s="1" t="n"/>
      <c r="E14" s="15" t="n">
        <v>0</v>
      </c>
      <c r="F14" s="1" t="n"/>
      <c r="G14" s="3" t="n"/>
      <c r="H14" s="3" t="n"/>
      <c r="I14" s="3" t="n"/>
      <c r="J14" s="3" t="n"/>
    </row>
    <row r="15" ht="16" customHeight="1">
      <c r="A15" s="9" t="inlineStr">
        <is>
          <t>Standard Equipment</t>
        </is>
      </c>
      <c r="B15" s="11" t="inlineStr">
        <is>
          <t>1AB</t>
        </is>
      </c>
      <c r="C15" s="3" t="inlineStr">
        <is>
          <t>Brakes</t>
        </is>
      </c>
      <c r="D15" s="3" t="n"/>
      <c r="E15" s="12" t="n">
        <v>0</v>
      </c>
      <c r="F15" s="3" t="n"/>
      <c r="G15" s="3" t="n"/>
      <c r="H15" s="3" t="n"/>
      <c r="I15" s="3" t="n"/>
      <c r="J15" s="3" t="n"/>
    </row>
    <row r="16" ht="16" customHeight="1">
      <c r="A16" s="3" t="n"/>
      <c r="B16" s="11" t="inlineStr">
        <is>
          <t>1AC</t>
        </is>
      </c>
      <c r="C16" s="3" t="inlineStr">
        <is>
          <t>Floor Mats</t>
        </is>
      </c>
      <c r="D16" s="3" t="n"/>
      <c r="E16" s="12" t="n">
        <v>0</v>
      </c>
      <c r="F16" s="3" t="n"/>
      <c r="G16" s="3" t="n"/>
      <c r="H16" s="3" t="n"/>
      <c r="I16" s="3" t="n"/>
      <c r="J16" s="3" t="n"/>
    </row>
    <row r="17" ht="16" customHeight="1">
      <c r="A17" s="3" t="n"/>
      <c r="B17" s="11" t="inlineStr">
        <is>
          <t>1AD</t>
        </is>
      </c>
      <c r="C17" s="3" t="inlineStr">
        <is>
          <t>Alloy Wheels</t>
        </is>
      </c>
      <c r="D17" s="3" t="n"/>
      <c r="E17" s="12" t="n">
        <v>0</v>
      </c>
      <c r="F17" s="3" t="n"/>
      <c r="G17" s="3" t="n"/>
      <c r="H17" s="3" t="n"/>
      <c r="I17" s="3" t="n"/>
      <c r="J17" s="3" t="n"/>
    </row>
    <row r="18" ht="16" customHeight="1">
      <c r="A18" s="3" t="n"/>
      <c r="B18" s="11" t="inlineStr">
        <is>
          <t>1AE</t>
        </is>
      </c>
      <c r="C18" s="3" t="inlineStr">
        <is>
          <t>Summer Tires</t>
        </is>
      </c>
      <c r="D18" s="3" t="n"/>
      <c r="E18" s="12" t="n">
        <v>0</v>
      </c>
      <c r="F18" s="3" t="n"/>
      <c r="G18" s="3" t="n"/>
      <c r="H18" s="3" t="n"/>
      <c r="I18" s="3" t="n"/>
      <c r="J18" s="3" t="n"/>
    </row>
    <row r="19" ht="16" customHeight="1">
      <c r="A19" s="3" t="n"/>
      <c r="B19" s="11" t="inlineStr">
        <is>
          <t>1AF</t>
        </is>
      </c>
      <c r="C19" s="3" t="inlineStr">
        <is>
          <t>Sun Protection</t>
        </is>
      </c>
      <c r="D19" s="3" t="n"/>
      <c r="E19" s="12" t="n">
        <v>0</v>
      </c>
      <c r="F19" s="3" t="n"/>
      <c r="G19" s="3" t="n"/>
      <c r="H19" s="3" t="n"/>
      <c r="I19" s="3" t="n"/>
      <c r="J19" s="3" t="n"/>
    </row>
    <row r="20" ht="16" customHeight="1">
      <c r="A20" s="3" t="n"/>
      <c r="B20" s="11" t="inlineStr">
        <is>
          <t>1AG</t>
        </is>
      </c>
      <c r="C20" s="3" t="inlineStr">
        <is>
          <t>Sport Seats</t>
        </is>
      </c>
      <c r="D20" s="3" t="n"/>
      <c r="E20" s="12" t="n">
        <v>0</v>
      </c>
      <c r="F20" s="3" t="n"/>
      <c r="G20" s="3" t="n"/>
      <c r="H20" s="3" t="n"/>
      <c r="I20" s="3" t="n"/>
      <c r="J20" s="3" t="n"/>
    </row>
    <row r="21" ht="16" customHeight="1">
      <c r="A21" s="3" t="n"/>
      <c r="B21" s="11" t="inlineStr">
        <is>
          <t>1AH</t>
        </is>
      </c>
      <c r="C21" s="3" t="inlineStr">
        <is>
          <t>Cruise Control</t>
        </is>
      </c>
      <c r="D21" s="3" t="n"/>
      <c r="E21" s="12" t="n">
        <v>0</v>
      </c>
      <c r="F21" s="3" t="n"/>
      <c r="G21" s="3" t="n"/>
      <c r="H21" s="3" t="n"/>
      <c r="I21" s="3" t="n"/>
      <c r="J21" s="3" t="n"/>
    </row>
    <row r="22" ht="16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16" customHeight="1">
      <c r="A23" s="16" t="inlineStr">
        <is>
          <t>Protection Package</t>
        </is>
      </c>
      <c r="B23" s="17" t="inlineStr">
        <is>
          <t>VR Protection</t>
        </is>
      </c>
      <c r="C23" s="17" t="n"/>
      <c r="D23" s="17" t="n"/>
      <c r="E23" s="17" t="n"/>
      <c r="F23" s="17" t="n"/>
      <c r="G23" s="17" t="n"/>
      <c r="H23" s="3" t="n"/>
      <c r="I23" s="3" t="n"/>
      <c r="J23" s="3" t="n"/>
    </row>
    <row r="24" ht="16" customHeight="1">
      <c r="A24" s="3" t="n"/>
      <c r="B24" s="3" t="inlineStr">
        <is>
          <t>External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6" customHeight="1">
      <c r="A25" s="3" t="n"/>
      <c r="B25" s="3" t="inlineStr">
        <is>
          <t>Heated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6" customHeight="1">
      <c r="A26" s="3" t="n"/>
      <c r="B26" s="3" t="inlineStr">
        <is>
          <t>Safety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16" customHeight="1">
      <c r="A27" s="3" t="n"/>
      <c r="B27" s="3" t="inlineStr">
        <is>
          <t>Underbody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16" customHeight="1">
      <c r="A28" s="18">
        <f>A7</f>
        <v/>
      </c>
      <c r="B28" s="18">
        <f>B7</f>
        <v/>
      </c>
      <c r="C28" s="19" t="n"/>
      <c r="D28" s="19" t="n"/>
      <c r="E28" s="20" t="inlineStr">
        <is>
          <t>Page 2</t>
        </is>
      </c>
      <c r="F28" s="19" t="n"/>
      <c r="G28" s="3" t="n"/>
      <c r="H28" s="3" t="n"/>
      <c r="I28" s="3" t="n"/>
      <c r="J28" s="3" t="n"/>
    </row>
    <row r="29" ht="16" customHeight="1">
      <c r="A29" s="9" t="inlineStr">
        <is>
          <t>Security Equipment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16" customHeight="1">
      <c r="A30" s="3" t="n"/>
      <c r="B30" s="11" t="inlineStr">
        <is>
          <t>2AB</t>
        </is>
      </c>
      <c r="C30" s="3" t="inlineStr">
        <is>
          <t>Underbody Protection</t>
        </is>
      </c>
      <c r="D30" s="3" t="n"/>
      <c r="E30" s="12" t="n">
        <v>0</v>
      </c>
      <c r="F30" s="3" t="n"/>
      <c r="G30" s="3" t="n"/>
      <c r="H30" s="3" t="n"/>
      <c r="I30" s="3" t="n"/>
      <c r="J30" s="3" t="n"/>
    </row>
    <row r="31" ht="16" customHeight="1">
      <c r="A31" s="3" t="n"/>
      <c r="B31" s="11" t="inlineStr">
        <is>
          <t>2AC</t>
        </is>
      </c>
      <c r="C31" s="3" t="inlineStr">
        <is>
          <t>Fire Extinguisher</t>
        </is>
      </c>
      <c r="D31" s="3" t="n"/>
      <c r="E31" s="12" t="n">
        <v>0</v>
      </c>
      <c r="F31" s="3" t="n"/>
      <c r="G31" s="3" t="n"/>
      <c r="H31" s="3" t="n"/>
      <c r="I31" s="3" t="n"/>
      <c r="J31" s="3" t="n"/>
    </row>
    <row r="32" ht="16" customHeight="1">
      <c r="A32" s="3" t="n"/>
      <c r="B32" s="11" t="inlineStr">
        <is>
          <t>2AD</t>
        </is>
      </c>
      <c r="C32" s="3" t="inlineStr">
        <is>
          <t>Security Glass</t>
        </is>
      </c>
      <c r="D32" s="3" t="n"/>
      <c r="E32" s="12" t="n">
        <v>0</v>
      </c>
      <c r="F32" s="3" t="n"/>
      <c r="G32" s="3" t="n"/>
      <c r="H32" s="3" t="n"/>
      <c r="I32" s="3" t="n"/>
      <c r="J32" s="3" t="n"/>
    </row>
    <row r="33" ht="16" customHeight="1">
      <c r="A33" s="3" t="n"/>
      <c r="B33" s="11" t="inlineStr">
        <is>
          <t>2AE</t>
        </is>
      </c>
      <c r="C33" s="3" t="inlineStr">
        <is>
          <t>Additional Armoring</t>
        </is>
      </c>
      <c r="D33" s="3" t="n"/>
      <c r="E33" s="12" t="n">
        <v>0</v>
      </c>
      <c r="F33" s="3" t="n"/>
      <c r="G33" s="3" t="n"/>
      <c r="H33" s="3" t="n"/>
      <c r="I33" s="3" t="n"/>
      <c r="J33" s="3" t="n"/>
    </row>
    <row r="34" ht="16" customHeight="1">
      <c r="A34" s="3" t="n"/>
      <c r="B34" s="11" t="inlineStr">
        <is>
          <t>2AF</t>
        </is>
      </c>
      <c r="C34" s="3" t="inlineStr">
        <is>
          <t>Standard Mounting</t>
        </is>
      </c>
      <c r="D34" s="3" t="n"/>
      <c r="E34" s="12" t="n">
        <v>0</v>
      </c>
      <c r="F34" s="3" t="n"/>
      <c r="G34" s="3" t="n"/>
      <c r="H34" s="3" t="n"/>
      <c r="I34" s="3" t="n"/>
      <c r="J34" s="3" t="n"/>
    </row>
    <row r="35" ht="16" customHeight="1">
      <c r="A35" s="1" t="n"/>
      <c r="B35" s="1" t="n"/>
      <c r="C35" s="1" t="n"/>
      <c r="D35" s="1" t="n"/>
      <c r="E35" s="1" t="n"/>
      <c r="F35" s="1" t="n"/>
      <c r="G35" s="1" t="n"/>
      <c r="H35" s="3" t="n"/>
      <c r="I35" s="3" t="n"/>
      <c r="J35" s="3" t="n"/>
    </row>
    <row r="36" ht="16" customHeight="1">
      <c r="A36" s="9" t="inlineStr">
        <is>
          <t>Optional Equipment</t>
        </is>
      </c>
      <c r="B36" s="11" t="inlineStr">
        <is>
          <t>3AB</t>
        </is>
      </c>
      <c r="C36" s="3" t="inlineStr">
        <is>
          <t>Seat Heating</t>
        </is>
      </c>
      <c r="D36" s="3" t="n"/>
      <c r="E36" s="12" t="n">
        <v>0</v>
      </c>
      <c r="F36" s="3" t="n"/>
      <c r="G36" s="3" t="n"/>
      <c r="H36" s="3" t="n"/>
      <c r="I36" s="3" t="n"/>
      <c r="J36" s="3" t="n"/>
    </row>
    <row r="37" ht="16" customHeight="1">
      <c r="A37" s="3" t="n"/>
      <c r="B37" s="11" t="inlineStr">
        <is>
          <t>3AC</t>
        </is>
      </c>
      <c r="C37" s="3" t="inlineStr">
        <is>
          <t>Auxiliary Heating</t>
        </is>
      </c>
      <c r="D37" s="3" t="n"/>
      <c r="E37" s="12" t="n">
        <v>0</v>
      </c>
      <c r="F37" s="3" t="n"/>
      <c r="G37" s="3" t="n"/>
      <c r="H37" s="3" t="n"/>
      <c r="I37" s="3" t="n"/>
      <c r="J37" s="3" t="n"/>
    </row>
    <row r="38" ht="16" customHeight="1">
      <c r="A38" s="3" t="n"/>
      <c r="B38" s="11" t="inlineStr">
        <is>
          <t>3AD</t>
        </is>
      </c>
      <c r="C38" s="3" t="inlineStr">
        <is>
          <t>M Steering Wheel</t>
        </is>
      </c>
      <c r="D38" s="3" t="n"/>
      <c r="E38" s="12" t="n">
        <v>0</v>
      </c>
      <c r="F38" s="3" t="n"/>
      <c r="G38" s="3" t="n"/>
      <c r="H38" s="3" t="n"/>
      <c r="I38" s="3" t="n"/>
      <c r="J38" s="3" t="n"/>
    </row>
    <row r="39" ht="16" customHeight="1">
      <c r="A39" s="3" t="n"/>
      <c r="B39" s="11" t="inlineStr">
        <is>
          <t>3NK</t>
        </is>
      </c>
      <c r="C39" s="3" t="inlineStr">
        <is>
          <t>M Sport Package</t>
        </is>
      </c>
      <c r="D39" s="3" t="n"/>
      <c r="E39" s="12" t="n">
        <v>0</v>
      </c>
      <c r="F39" s="3" t="n"/>
      <c r="G39" s="3" t="n"/>
      <c r="H39" s="3" t="n"/>
      <c r="I39" s="3" t="n"/>
      <c r="J39" s="3" t="n"/>
    </row>
    <row r="40" ht="16" customHeight="1">
      <c r="A40" s="3" t="n"/>
      <c r="B40" s="11" t="inlineStr">
        <is>
          <t>2MX</t>
        </is>
      </c>
      <c r="C40" s="3" t="inlineStr">
        <is>
          <t>Sport Seats</t>
        </is>
      </c>
      <c r="D40" s="3" t="n"/>
      <c r="E40" s="12" t="n">
        <v>0</v>
      </c>
      <c r="F40" s="3" t="n"/>
      <c r="G40" s="3" t="n"/>
      <c r="H40" s="3" t="n"/>
      <c r="I40" s="3" t="n"/>
      <c r="J40" s="3" t="n"/>
    </row>
    <row r="41" ht="16" customHeight="1">
      <c r="A41" s="3" t="n"/>
      <c r="B41" s="11" t="inlineStr">
        <is>
          <t>322</t>
        </is>
      </c>
      <c r="C41" s="3" t="inlineStr">
        <is>
          <t>Comfort Access</t>
        </is>
      </c>
      <c r="D41" s="3" t="n"/>
      <c r="E41" s="12" t="n">
        <v>0</v>
      </c>
      <c r="F41" s="3" t="n"/>
      <c r="G41" s="3" t="n"/>
      <c r="H41" s="3" t="n"/>
      <c r="I41" s="3" t="n"/>
      <c r="J41" s="3" t="n"/>
    </row>
    <row r="42" ht="16" customHeight="1">
      <c r="A42" s="3" t="n"/>
      <c r="B42" s="11" t="inlineStr">
        <is>
          <t>423</t>
        </is>
      </c>
      <c r="C42" s="3" t="inlineStr">
        <is>
          <t>LED Headlights</t>
        </is>
      </c>
      <c r="D42" s="3" t="n"/>
      <c r="E42" s="12" t="n">
        <v>0</v>
      </c>
      <c r="F42" s="3" t="n"/>
      <c r="G42" s="3" t="n"/>
      <c r="H42" s="3" t="n"/>
      <c r="I42" s="3" t="n"/>
      <c r="J42" s="3" t="n"/>
    </row>
    <row r="43" ht="16" customHeight="1">
      <c r="A43" s="3" t="n"/>
      <c r="B43" s="11" t="inlineStr">
        <is>
          <t>494</t>
        </is>
      </c>
      <c r="C43" s="3" t="inlineStr">
        <is>
          <t>Heating</t>
        </is>
      </c>
      <c r="D43" s="3" t="n"/>
      <c r="E43" s="12" t="n">
        <v>0</v>
      </c>
      <c r="F43" s="3" t="n"/>
      <c r="G43" s="3" t="n"/>
      <c r="H43" s="3" t="n"/>
      <c r="I43" s="3" t="n"/>
      <c r="J43" s="3" t="n"/>
    </row>
    <row r="44" ht="16" customHeight="1">
      <c r="A44" s="3" t="n"/>
      <c r="B44" s="11" t="inlineStr">
        <is>
          <t>5AS</t>
        </is>
      </c>
      <c r="C44" s="3" t="inlineStr">
        <is>
          <t>Heads-Up Display</t>
        </is>
      </c>
      <c r="D44" s="3" t="n"/>
      <c r="E44" s="12" t="n">
        <v>0</v>
      </c>
      <c r="F44" s="3" t="n"/>
      <c r="G44" s="3" t="n"/>
      <c r="H44" s="3" t="n"/>
      <c r="I44" s="3" t="n"/>
      <c r="J44" s="3" t="n"/>
    </row>
    <row r="45" ht="16" customHeight="1">
      <c r="A45" s="3" t="n"/>
      <c r="B45" s="11" t="inlineStr">
        <is>
          <t>6AC</t>
        </is>
      </c>
      <c r="C45" s="3" t="inlineStr">
        <is>
          <t>Adaptive Cruise Control</t>
        </is>
      </c>
      <c r="D45" s="3" t="n"/>
      <c r="E45" s="12" t="n">
        <v>0</v>
      </c>
      <c r="F45" s="3" t="n"/>
      <c r="G45" s="3" t="n"/>
      <c r="H45" s="3" t="n"/>
      <c r="I45" s="3" t="n"/>
      <c r="J45" s="3" t="n"/>
    </row>
    <row r="46" ht="16" customHeight="1">
      <c r="A46" s="3" t="n"/>
      <c r="B46" s="11" t="inlineStr">
        <is>
          <t>6FL</t>
        </is>
      </c>
      <c r="C46" s="3" t="inlineStr">
        <is>
          <t>Active Protection</t>
        </is>
      </c>
      <c r="D46" s="3" t="n"/>
      <c r="E46" s="12" t="n">
        <v>0</v>
      </c>
      <c r="F46" s="3" t="n"/>
      <c r="G46" s="3" t="n"/>
      <c r="H46" s="3" t="n"/>
      <c r="I46" s="3" t="n"/>
      <c r="J46" s="3" t="n"/>
    </row>
    <row r="47" ht="16" customHeight="1">
      <c r="A47" s="3" t="n"/>
      <c r="B47" s="11" t="inlineStr">
        <is>
          <t>8TG</t>
        </is>
      </c>
      <c r="C47" s="3" t="inlineStr">
        <is>
          <t>Night Vision</t>
        </is>
      </c>
      <c r="D47" s="3" t="n"/>
      <c r="E47" s="12" t="n">
        <v>0</v>
      </c>
      <c r="F47" s="3" t="n"/>
      <c r="G47" s="3" t="n"/>
      <c r="H47" s="3" t="n"/>
      <c r="I47" s="3" t="n"/>
      <c r="J47" s="3" t="n"/>
    </row>
    <row r="48" ht="16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16" customHeight="1">
      <c r="A49" s="16" t="inlineStr">
        <is>
          <t>Technical Adjustments</t>
        </is>
      </c>
      <c r="B49" s="17" t="n"/>
      <c r="C49" s="17" t="n"/>
      <c r="D49" s="17" t="n"/>
      <c r="E49" s="17" t="n"/>
      <c r="F49" s="17" t="n"/>
      <c r="G49" s="3" t="n"/>
      <c r="H49" s="3" t="n"/>
      <c r="I49" s="3" t="n"/>
      <c r="J49" s="3" t="n"/>
    </row>
    <row r="50" ht="16" customHeight="1">
      <c r="A50" s="9" t="inlineStr">
        <is>
          <t>Additions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 ht="16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16" customHeight="1">
      <c r="A52" s="9" t="inlineStr">
        <is>
          <t>Deletions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6" customHeight="1">
      <c r="A53" s="1" t="n"/>
      <c r="B53" s="1" t="n"/>
      <c r="C53" s="1" t="n"/>
      <c r="D53" s="1" t="n"/>
      <c r="E53" s="1" t="n"/>
      <c r="F53" s="1" t="n"/>
      <c r="G53" s="3" t="n"/>
      <c r="H53" s="3" t="n"/>
      <c r="I53" s="3" t="n"/>
      <c r="J53" s="3" t="n"/>
    </row>
    <row r="54" ht="22.5" customHeight="1">
      <c r="A54" s="3" t="n"/>
      <c r="B54" s="3" t="inlineStr">
        <is>
          <t>Basic Vehicle Price</t>
        </is>
      </c>
      <c r="C54" s="3" t="n"/>
      <c r="D54" s="3" t="n"/>
      <c r="E54" s="21">
        <f>E11</f>
        <v/>
      </c>
      <c r="F54" s="3" t="n"/>
      <c r="G54" s="3" t="n"/>
      <c r="H54" s="3" t="n"/>
      <c r="I54" s="3" t="n"/>
      <c r="J54" s="3" t="n"/>
    </row>
    <row r="55" ht="22.5" customHeight="1">
      <c r="A55" s="3" t="n"/>
      <c r="B55" s="3" t="inlineStr">
        <is>
          <t>Optional Equipment</t>
        </is>
      </c>
      <c r="C55" s="3" t="n"/>
      <c r="D55" s="3" t="n"/>
      <c r="E55" s="21">
        <f>SUM(E12,E13,E14,E30:E34,E36:E47)</f>
        <v/>
      </c>
      <c r="F55" s="3" t="n"/>
      <c r="G55" s="3" t="n"/>
      <c r="H55" s="3" t="n"/>
      <c r="I55" s="3" t="n"/>
      <c r="J55" s="3" t="n"/>
    </row>
    <row r="56" ht="22.5" customHeight="1">
      <c r="A56" s="1" t="n"/>
      <c r="B56" s="1" t="inlineStr">
        <is>
          <t>Technical Adjustment</t>
        </is>
      </c>
      <c r="C56" s="1" t="n"/>
      <c r="D56" s="1" t="n"/>
      <c r="E56" s="22">
        <f>E49</f>
        <v/>
      </c>
      <c r="F56" s="1" t="n"/>
      <c r="G56" s="3" t="n"/>
      <c r="H56" s="3" t="n"/>
      <c r="I56" s="3" t="n"/>
      <c r="J56" s="3" t="n"/>
    </row>
    <row r="57" ht="22.5" customHeight="1">
      <c r="A57" s="1" t="n"/>
      <c r="B57" s="23" t="inlineStr"/>
      <c r="C57" s="1" t="n"/>
      <c r="D57" s="1" t="n"/>
      <c r="E57" s="22">
        <f>SUM(E54:E56)</f>
        <v/>
      </c>
      <c r="F57" s="1" t="n"/>
      <c r="G57" s="3" t="n"/>
      <c r="H57" s="3" t="n"/>
      <c r="I57" s="3" t="n"/>
      <c r="J57" s="3" t="n"/>
    </row>
    <row r="58" ht="22.5" customHeight="1">
      <c r="A58" s="3" t="n"/>
      <c r="B58" s="3" t="inlineStr">
        <is>
          <t>Transportation</t>
        </is>
      </c>
      <c r="C58" s="3" t="n"/>
      <c r="D58" s="3" t="n"/>
      <c r="E58" s="21" t="n">
        <v>0</v>
      </c>
      <c r="F58" s="3" t="n"/>
      <c r="G58" s="3" t="n"/>
      <c r="H58" s="3" t="n"/>
      <c r="I58" s="3" t="n"/>
      <c r="J58" s="3" t="n"/>
    </row>
    <row r="59" ht="22.5" customHeight="1">
      <c r="A59" s="1" t="n"/>
      <c r="B59" s="1" t="inlineStr">
        <is>
          <t>Special Discount</t>
        </is>
      </c>
      <c r="C59" s="1" t="n"/>
      <c r="D59" s="1" t="n"/>
      <c r="E59" s="22" t="n">
        <v>0</v>
      </c>
      <c r="F59" s="1" t="n"/>
      <c r="G59" s="3" t="n"/>
      <c r="H59" s="3" t="n"/>
      <c r="I59" s="3" t="n"/>
      <c r="J59" s="3" t="n"/>
    </row>
    <row r="60" ht="22.5" customHeight="1">
      <c r="A60" s="24" t="n"/>
      <c r="B60" s="25" t="inlineStr"/>
      <c r="C60" s="24" t="n"/>
      <c r="D60" s="24" t="n"/>
      <c r="E60" s="26">
        <f>SUM(E57:E59)</f>
        <v/>
      </c>
      <c r="F60" s="24" t="n"/>
      <c r="G60" s="3" t="n"/>
      <c r="H60" s="3" t="n"/>
      <c r="I60" s="3" t="n"/>
      <c r="J60" s="3" t="n"/>
    </row>
    <row r="61" ht="28.5" customHeight="1">
      <c r="A61" s="27" t="inlineStr">
        <is>
          <t>aaaaaaaaaaaaaaaaaaaa. aaaaaaaaaaaaaaaaaaaaaaaa.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16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16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 ht="16" customHeight="1">
      <c r="A64" s="6">
        <f>A6</f>
        <v/>
      </c>
      <c r="B64" s="6">
        <f>B6</f>
        <v/>
      </c>
      <c r="C64" s="3" t="n"/>
      <c r="D64" s="3" t="n"/>
      <c r="E64" s="8" t="inlineStr">
        <is>
          <t>Page 3</t>
        </is>
      </c>
      <c r="F64" s="3" t="n"/>
      <c r="G64" s="3" t="n"/>
      <c r="H64" s="3" t="n"/>
      <c r="I64" s="3" t="n"/>
      <c r="J64" s="3" t="n"/>
    </row>
    <row r="65" ht="16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6" customHeight="1">
      <c r="A66" s="9" t="inlineStr">
        <is>
          <t>Technical Data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6" customHeight="1">
      <c r="A67" s="28" t="n"/>
      <c r="B67" s="29" t="n"/>
      <c r="C67" s="29" t="n"/>
      <c r="D67" s="29" t="n"/>
      <c r="E67" s="30" t="n"/>
      <c r="F67" s="3" t="n"/>
      <c r="G67" s="3" t="n"/>
      <c r="H67" s="3" t="n"/>
      <c r="I67" s="3" t="n"/>
      <c r="J67" s="3" t="n"/>
    </row>
    <row r="68" ht="16" customHeight="1">
      <c r="A68" s="31" t="inlineStr">
        <is>
          <t>Weight</t>
        </is>
      </c>
      <c r="B68" s="32" t="inlineStr"/>
      <c r="C68" s="32" t="inlineStr"/>
      <c r="D68" s="32" t="inlineStr"/>
      <c r="E68" s="33" t="n"/>
      <c r="F68" s="3" t="n"/>
      <c r="G68" s="3" t="n"/>
      <c r="H68" s="3" t="n"/>
      <c r="I68" s="3" t="n"/>
      <c r="J68" s="3" t="n"/>
    </row>
    <row r="69" ht="16" customHeight="1">
      <c r="A69" s="34" t="inlineStr">
        <is>
          <t>Unladen DIN</t>
        </is>
      </c>
      <c r="B69" s="32" t="inlineStr">
        <is>
          <t>(without Driver)</t>
        </is>
      </c>
      <c r="C69" s="32" t="inlineStr">
        <is>
          <t>kg</t>
        </is>
      </c>
      <c r="D69" s="32" t="inlineStr">
        <is>
          <t>3</t>
        </is>
      </c>
      <c r="E69" s="33" t="n"/>
      <c r="F69" s="3" t="n"/>
      <c r="G69" s="3" t="n"/>
      <c r="H69" s="3" t="n"/>
      <c r="I69" s="3" t="n"/>
      <c r="J69" s="3" t="n"/>
    </row>
    <row r="70" ht="16" customHeight="1">
      <c r="A70" s="34" t="inlineStr">
        <is>
          <t>Unladen EU</t>
        </is>
      </c>
      <c r="B70" s="32" t="inlineStr"/>
      <c r="C70" s="32" t="inlineStr">
        <is>
          <t>kg</t>
        </is>
      </c>
      <c r="D70" s="32" t="inlineStr">
        <is>
          <t>3</t>
        </is>
      </c>
      <c r="E70" s="33" t="n"/>
      <c r="F70" s="3" t="n"/>
      <c r="G70" s="3" t="n"/>
      <c r="H70" s="3" t="n"/>
      <c r="I70" s="3" t="n"/>
      <c r="J70" s="3" t="n"/>
    </row>
    <row r="71" ht="16" customHeight="1">
      <c r="A71" s="34" t="inlineStr">
        <is>
          <t>Gross vehicle weight</t>
        </is>
      </c>
      <c r="B71" s="32" t="inlineStr"/>
      <c r="C71" s="32" t="inlineStr">
        <is>
          <t>kg</t>
        </is>
      </c>
      <c r="D71" s="32" t="inlineStr">
        <is>
          <t>3</t>
        </is>
      </c>
      <c r="E71" s="33" t="n"/>
      <c r="F71" s="3" t="n"/>
      <c r="G71" s="3" t="n"/>
      <c r="H71" s="3" t="n"/>
      <c r="I71" s="3" t="n"/>
      <c r="J71" s="3" t="n"/>
    </row>
    <row r="72" ht="16" customHeight="1">
      <c r="A72" s="34" t="n"/>
      <c r="B72" s="32" t="n"/>
      <c r="C72" s="32" t="n"/>
      <c r="D72" s="32" t="n"/>
      <c r="E72" s="33" t="n"/>
      <c r="F72" s="3" t="n"/>
      <c r="G72" s="3" t="n"/>
      <c r="H72" s="3" t="n"/>
      <c r="I72" s="3" t="n"/>
      <c r="J72" s="3" t="n"/>
    </row>
    <row r="73" ht="16" customHeight="1">
      <c r="A73" s="31" t="inlineStr">
        <is>
          <t>Engine¹'²</t>
        </is>
      </c>
      <c r="B73" s="32" t="inlineStr"/>
      <c r="C73" s="32" t="inlineStr"/>
      <c r="D73" s="32" t="inlineStr"/>
      <c r="E73" s="33" t="n"/>
      <c r="F73" s="3" t="n"/>
      <c r="G73" s="3" t="n"/>
      <c r="H73" s="3" t="n"/>
      <c r="I73" s="3" t="n"/>
      <c r="J73" s="3" t="n"/>
    </row>
    <row r="74" ht="16" customHeight="1">
      <c r="A74" s="34" t="inlineStr">
        <is>
          <t>Cylinders/Valves</t>
        </is>
      </c>
      <c r="B74" s="32" t="inlineStr"/>
      <c r="C74" s="32" t="inlineStr"/>
      <c r="D74" s="32" t="inlineStr">
        <is>
          <t>7/5</t>
        </is>
      </c>
      <c r="E74" s="33" t="n"/>
      <c r="F74" s="3" t="n"/>
      <c r="G74" s="3" t="n"/>
      <c r="H74" s="3" t="n"/>
      <c r="I74" s="3" t="n"/>
      <c r="J74" s="3" t="n"/>
    </row>
    <row r="75" ht="16" customHeight="1">
      <c r="A75" s="34" t="inlineStr">
        <is>
          <t>Capacity</t>
        </is>
      </c>
      <c r="B75" s="32" t="inlineStr"/>
      <c r="C75" s="32" t="inlineStr">
        <is>
          <t>cc³</t>
        </is>
      </c>
      <c r="D75" s="32" t="inlineStr">
        <is>
          <t>4</t>
        </is>
      </c>
      <c r="E75" s="33" t="n"/>
      <c r="F75" s="3" t="n"/>
      <c r="G75" s="3" t="n"/>
      <c r="H75" s="3" t="n"/>
      <c r="I75" s="3" t="n"/>
      <c r="J75" s="3" t="n"/>
    </row>
    <row r="76" ht="16" customHeight="1">
      <c r="A76" s="34" t="inlineStr">
        <is>
          <t>Output/Engine Speed</t>
        </is>
      </c>
      <c r="B76" s="32" t="inlineStr"/>
      <c r="C76" s="32" t="inlineStr">
        <is>
          <t>kW(hp)/rpm</t>
        </is>
      </c>
      <c r="D76" s="32" t="inlineStr">
        <is>
          <t>3</t>
        </is>
      </c>
      <c r="E76" s="33" t="n"/>
      <c r="F76" s="3" t="n"/>
      <c r="G76" s="3" t="n"/>
      <c r="H76" s="3" t="n"/>
      <c r="I76" s="3" t="n"/>
      <c r="J76" s="3" t="n"/>
    </row>
    <row r="77" ht="16" customHeight="1">
      <c r="A77" s="34" t="inlineStr">
        <is>
          <t>Engine Torque</t>
        </is>
      </c>
      <c r="B77" s="32" t="inlineStr"/>
      <c r="C77" s="32" t="inlineStr">
        <is>
          <t>Nm</t>
        </is>
      </c>
      <c r="D77" s="32" t="inlineStr">
        <is>
          <t>7</t>
        </is>
      </c>
      <c r="E77" s="33" t="n"/>
      <c r="F77" s="3" t="n"/>
      <c r="G77" s="3" t="n"/>
      <c r="H77" s="3" t="n"/>
      <c r="I77" s="3" t="n"/>
      <c r="J77" s="3" t="n"/>
    </row>
    <row r="78" ht="16" customHeight="1">
      <c r="A78" s="34" t="n"/>
      <c r="B78" s="32" t="n"/>
      <c r="C78" s="32" t="n"/>
      <c r="D78" s="32" t="n"/>
      <c r="E78" s="33" t="n"/>
      <c r="F78" s="3" t="n"/>
      <c r="G78" s="3" t="n"/>
      <c r="H78" s="3" t="n"/>
      <c r="I78" s="3" t="n"/>
      <c r="J78" s="3" t="n"/>
    </row>
    <row r="79" ht="16" customHeight="1">
      <c r="A79" s="31" t="inlineStr">
        <is>
          <t>Performance</t>
        </is>
      </c>
      <c r="B79" s="32" t="inlineStr"/>
      <c r="C79" s="32" t="inlineStr"/>
      <c r="D79" s="32" t="inlineStr"/>
      <c r="E79" s="33" t="n"/>
      <c r="F79" s="3" t="n"/>
      <c r="G79" s="3" t="n"/>
      <c r="H79" s="3" t="n"/>
      <c r="I79" s="3" t="n"/>
      <c r="J79" s="3" t="n"/>
    </row>
    <row r="80" ht="16" customHeight="1">
      <c r="A80" s="34" t="inlineStr">
        <is>
          <t>Top Speed³</t>
        </is>
      </c>
      <c r="B80" s="32" t="inlineStr"/>
      <c r="C80" s="32" t="inlineStr">
        <is>
          <t>km/h</t>
        </is>
      </c>
      <c r="D80" s="32" t="inlineStr">
        <is>
          <t>2</t>
        </is>
      </c>
      <c r="E80" s="33" t="n"/>
      <c r="F80" s="3" t="n"/>
      <c r="G80" s="3" t="n"/>
      <c r="H80" s="3" t="n"/>
      <c r="I80" s="3" t="n"/>
      <c r="J80" s="3" t="n"/>
    </row>
    <row r="81" ht="16" customHeight="1">
      <c r="A81" s="34" t="inlineStr">
        <is>
          <t>Acceleration 0-100 km/h</t>
        </is>
      </c>
      <c r="B81" s="32" t="inlineStr"/>
      <c r="C81" s="32" t="inlineStr">
        <is>
          <t>s</t>
        </is>
      </c>
      <c r="D81" s="32" t="inlineStr">
        <is>
          <t>5</t>
        </is>
      </c>
      <c r="E81" s="33" t="n"/>
      <c r="F81" s="3" t="n"/>
      <c r="G81" s="3" t="n"/>
      <c r="H81" s="3" t="n"/>
      <c r="I81" s="3" t="n"/>
      <c r="J81" s="3" t="n"/>
    </row>
    <row r="82" ht="16" customHeight="1">
      <c r="A82" s="34" t="n"/>
      <c r="B82" s="32" t="n"/>
      <c r="C82" s="32" t="n"/>
      <c r="D82" s="32" t="n"/>
      <c r="E82" s="33" t="n"/>
      <c r="F82" s="3" t="n"/>
      <c r="G82" s="3" t="n"/>
      <c r="H82" s="3" t="n"/>
      <c r="I82" s="3" t="n"/>
      <c r="J82" s="3" t="n"/>
    </row>
    <row r="83" ht="16" customHeight="1">
      <c r="A83" s="31" t="inlineStr">
        <is>
          <t>Fuel Consumption</t>
        </is>
      </c>
      <c r="B83" s="32" t="inlineStr"/>
      <c r="C83" s="32" t="inlineStr"/>
      <c r="D83" s="32" t="inlineStr"/>
      <c r="E83" s="33" t="n"/>
      <c r="F83" s="3" t="n"/>
      <c r="G83" s="3" t="n"/>
      <c r="H83" s="3" t="n"/>
      <c r="I83" s="3" t="n"/>
      <c r="J83" s="3" t="n"/>
    </row>
    <row r="84" ht="16" customHeight="1">
      <c r="A84" s="34" t="inlineStr">
        <is>
          <t>Combined</t>
        </is>
      </c>
      <c r="B84" s="32" t="inlineStr"/>
      <c r="C84" s="32" t="inlineStr">
        <is>
          <t>l/100 km</t>
        </is>
      </c>
      <c r="D84" s="32" t="inlineStr">
        <is>
          <t>1</t>
        </is>
      </c>
      <c r="E84" s="33" t="n"/>
      <c r="F84" s="3" t="n"/>
      <c r="G84" s="3" t="n"/>
      <c r="H84" s="3" t="n"/>
      <c r="I84" s="3" t="n"/>
      <c r="J84" s="3" t="n"/>
    </row>
    <row r="85" ht="16" customHeight="1">
      <c r="A85" s="34" t="inlineStr">
        <is>
          <t>CO2 emissions</t>
        </is>
      </c>
      <c r="B85" s="32" t="inlineStr"/>
      <c r="C85" s="32" t="inlineStr">
        <is>
          <t>g/km</t>
        </is>
      </c>
      <c r="D85" s="32" t="inlineStr">
        <is>
          <t>2</t>
        </is>
      </c>
      <c r="E85" s="33" t="n"/>
      <c r="F85" s="3" t="n"/>
      <c r="G85" s="3" t="n"/>
      <c r="H85" s="3" t="n"/>
      <c r="I85" s="3" t="n"/>
      <c r="J85" s="3" t="n"/>
    </row>
    <row r="86" ht="16" customHeight="1">
      <c r="A86" s="34" t="n"/>
      <c r="B86" s="32" t="n"/>
      <c r="C86" s="32" t="n"/>
      <c r="D86" s="32" t="n"/>
      <c r="E86" s="33" t="n"/>
      <c r="F86" s="3" t="n"/>
      <c r="G86" s="3" t="n"/>
      <c r="H86" s="3" t="n"/>
      <c r="I86" s="3" t="n"/>
      <c r="J86" s="3" t="n"/>
    </row>
    <row r="87" ht="16" customHeight="1">
      <c r="A87" s="34" t="n"/>
      <c r="B87" s="32" t="n"/>
      <c r="C87" s="32" t="n"/>
      <c r="D87" s="32" t="n"/>
      <c r="E87" s="33" t="n"/>
      <c r="F87" s="3" t="n"/>
      <c r="G87" s="3" t="n"/>
      <c r="H87" s="3" t="n"/>
      <c r="I87" s="3" t="n"/>
      <c r="J87" s="3" t="n"/>
    </row>
    <row r="88" ht="43.5" customHeight="1">
      <c r="A88" s="35" t="inlineStr">
        <is>
          <t>1 aaaaaaaaaaaaaaaaaaaaaaaaa aaaaaaaaaaaaaaaaaaaaaaaaa aaaaaaaaaaaaaaaaaaaaaaaaa aaaaaaaaaaaaaaaaaaaaaaaaa. aaaaaaaaaaaaaaaaaaaaaaaaa aaaaaaaaaaaaaaaaaaaaaaaaa aaaaaaaaaaaaaaaaaaaaaaaaa aaaaaaaaaaaaaaaaaaaaaaaaa. aaaaaaaaaaaaaaaaaaaaaaaaa aaaaaaaaaaaaaaaaaaaaaaaaa aaaaaaaaaaaaaaaaaaaaaaaaa aaaaaaaaaaaaaaaaaaaaaaaaa.</t>
        </is>
      </c>
      <c r="B88" s="32" t="n"/>
      <c r="C88" s="32" t="n"/>
      <c r="D88" s="32" t="n"/>
      <c r="E88" s="33" t="n"/>
      <c r="F88" s="3" t="n"/>
      <c r="G88" s="3" t="n"/>
      <c r="H88" s="3" t="n"/>
      <c r="I88" s="3" t="n"/>
      <c r="J88" s="3" t="n"/>
    </row>
    <row r="89" ht="57" customHeight="1">
      <c r="A89" s="35" t="inlineStr">
        <is>
          <t>2 aaaaaaaaaaaaaaaaaaaaaaaaa aaaaaaaaaaaaaaaaaaaaaaaaa aaaaaaaaaaaaaaaaaaaaaaaaa aaaaaaaaaaaaaaaaaaaaaaaaa aaaaaaaaaaaaaaaaaaaaaaaaa aaaaaaaaaaa aaaaaaaaaaaaaaaaaa aaaaaaaaaaaaaaaaaaaaaaaaaaaaaaaaaaaaaaaaaaaaaaa. aaaaaaaaaaaaaaaaaaaaaaaaa aaaaaaaaaaaaaaaaaaaaaaaaa aaaaaaaaaaaaaaaaaaaaaaaaa aaaaaaaaaaaaaaaaaaaaaaaaa aaaaaaaaaaaaaaaaaaaaaaaaa aaaaaaaaaaa aaaaaaaaaaaaaaaaaa aaaaaaaaaaaaaaaaaaaaaaaaaaaaaaaaaaaaaaaaaaaaaaa. aaaaaaaaaaaaaaaaaaaaaaaaa aaaaaaaaaaaaaaaaaaaaaaaaa aaaaaaaaaaaaaaaaaaaaaaaaa aaaaaaaaaaaaaaaaaaaaaaaaa aaaaaaaaaaaaaaaaaaaaaaaaa aaaaaaaaaaa aaaaaaaaaaaaaaaaaa aaaaaaaaaaaaaaaaaaaaaaaaaaaaaaaaaaaaaaaaaaaaaaa.</t>
        </is>
      </c>
      <c r="B89" s="32" t="n"/>
      <c r="C89" s="32" t="n"/>
      <c r="D89" s="32" t="n"/>
      <c r="E89" s="33" t="n"/>
      <c r="F89" s="3" t="n"/>
      <c r="G89" s="3" t="n"/>
      <c r="H89" s="3" t="n"/>
      <c r="I89" s="3" t="n"/>
      <c r="J89" s="3" t="n"/>
    </row>
    <row r="90" ht="22" customHeight="1">
      <c r="A90" s="35" t="inlineStr">
        <is>
          <t>aaaaaaaaaaaaaaaaaaaaaaaaa.</t>
        </is>
      </c>
      <c r="B90" s="32" t="n"/>
      <c r="C90" s="32" t="n"/>
      <c r="D90" s="32" t="n"/>
      <c r="E90" s="33" t="n"/>
      <c r="F90" s="3" t="n"/>
      <c r="G90" s="3" t="n"/>
      <c r="H90" s="3" t="n"/>
      <c r="I90" s="3" t="n"/>
      <c r="J90" s="3" t="n"/>
    </row>
    <row r="91" ht="22" customHeight="1">
      <c r="A91" s="36" t="inlineStr">
        <is>
          <t>3 aa</t>
        </is>
      </c>
      <c r="B91" s="19" t="n"/>
      <c r="C91" s="19" t="n"/>
      <c r="D91" s="19" t="n"/>
      <c r="E91" s="37" t="n"/>
      <c r="F91" s="3" t="n"/>
      <c r="G91" s="3" t="n"/>
      <c r="H91" s="3" t="n"/>
      <c r="I91" s="3" t="n"/>
      <c r="J91" s="3" t="n"/>
    </row>
    <row r="92" ht="16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16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16" customHeight="1">
      <c r="A94" s="6">
        <f>A6</f>
        <v/>
      </c>
      <c r="B94" s="6">
        <f>B6</f>
        <v/>
      </c>
      <c r="C94" s="3" t="n"/>
      <c r="D94" s="3" t="n"/>
      <c r="E94" s="8" t="inlineStr">
        <is>
          <t>Page 4</t>
        </is>
      </c>
      <c r="F94" s="3" t="n"/>
      <c r="G94" s="3" t="n"/>
      <c r="H94" s="3" t="n"/>
      <c r="I94" s="3" t="n"/>
      <c r="J94" s="3" t="n"/>
    </row>
  </sheetData>
  <mergeCells count="5">
    <mergeCell ref="A91:E91"/>
    <mergeCell ref="A90:E90"/>
    <mergeCell ref="A89:E89"/>
    <mergeCell ref="A61:E61"/>
    <mergeCell ref="A88:E88"/>
  </mergeCells>
  <conditionalFormatting sqref="H7">
    <cfRule type="expression" priority="1" dxfId="0">
      <formula>=COUNTIF(B:B,"8R3")=0</formula>
    </cfRule>
  </conditionalFormatting>
  <conditionalFormatting sqref="B57">
    <cfRule type="expression" priority="2" dxfId="1">
      <formula>ISBLANK(B57)</formula>
    </cfRule>
  </conditionalFormatting>
  <conditionalFormatting sqref="B60">
    <cfRule type="expression" priority="3" dxfId="1">
      <formula>ISBLANK(B60)</formula>
    </cfRule>
  </conditionalFormatting>
  <conditionalFormatting sqref="B3">
    <cfRule type="expression" priority="4" dxfId="1">
      <formula>ISBLANK(B3)</formula>
    </cfRule>
  </conditionalFormatting>
  <conditionalFormatting sqref="A7">
    <cfRule type="expression" priority="5" dxfId="1">
      <formula>ISBLANK(A7)</formula>
    </cfRule>
  </conditionalFormatting>
  <conditionalFormatting sqref="J3">
    <cfRule type="expression" priority="6" dxfId="1">
      <formula>ISBLANK(J3)</formula>
    </cfRule>
  </conditionalFormatting>
  <dataValidations count="7">
    <dataValidation sqref="B57" showDropDown="0" showInputMessage="0" showErrorMessage="0" allowBlank="1" type="list">
      <formula1>"NET VEHICLE PRICE,NET VEHICLE PRICE WHS"</formula1>
    </dataValidation>
    <dataValidation sqref="B60" showDropDown="0" showInputMessage="0" showErrorMessage="0" allowBlank="1" type="list">
      <formula1>"TOTAL OFFER PRICE,TOTAL OFFER PRICE WHS"</formula1>
    </dataValidation>
    <dataValidation sqref="B3" showDropDown="0" showInputMessage="0" showErrorMessage="0" allowBlank="1" type="list">
      <formula1>"CS-20/MH,CS-20/DW,CS-20/FR"</formula1>
    </dataValidation>
    <dataValidation sqref="A7" showDropDown="0" showInputMessage="0" showErrorMessage="0" allowBlank="1" type="list">
      <formula1>"VIN,Order Nr.,Proforma Order Nr."</formula1>
    </dataValidation>
    <dataValidation sqref="J3" showDropDown="0" showInputMessage="0" showErrorMessage="0" allowBlank="1" type="list">
      <formula1>"Germany,USA,France"</formula1>
    </dataValidation>
    <dataValidation sqref="E12" showDropDown="0" showInputMessage="0" showErrorMessage="0" allowBlank="1" type="list">
      <formula1>"Price | EUR,Price | USD,Price | ZAR,Price | NOK,Price | GBP,Price | WHS | EUR,Price | WHS | USD,Price | WHS | ZAR,Price | WHS | NOK,Price | WHS | GBP"</formula1>
    </dataValidation>
    <dataValidation sqref="F12" showDropDown="0" showInputMessage="0" showErrorMessage="0" allowBlank="1" type="list">
      <formula1>"Price | EUR,Price | USD,Price | ZAR,Price | NOK,Price | GBP,Price | WHS | EUR,Price | WHS | USD,Price | WHS | ZAR,Price | WHS | NOK,Price | WHS | GBP"</formula1>
    </dataValidation>
  </dataValidations>
  <pageMargins left="0.75" right="0.75" top="1" bottom="1" header="0.5" footer="0.5"/>
  <headerFooter>
    <oddHeader>&amp;LLOGO 1&amp;RLOGO 2</oddHeader>
    <oddFooter/>
    <evenHeader/>
    <evenFooter/>
    <firstHeader/>
    <firstFooter/>
  </headerFooter>
  <rowBreaks count="2" manualBreakCount="2">
    <brk id="62" min="0" max="16383" man="1"/>
    <brk id="9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PAK</t>
        </is>
      </c>
      <c r="C1" t="inlineStr">
        <is>
          <t>Client</t>
        </is>
      </c>
    </row>
    <row r="2">
      <c r="A2" t="inlineStr">
        <is>
          <t>Germany</t>
        </is>
      </c>
      <c r="B2" t="inlineStr">
        <is>
          <t>111</t>
        </is>
      </c>
      <c r="C2" t="inlineStr">
        <is>
          <t>1234</t>
        </is>
      </c>
    </row>
    <row r="3">
      <c r="A3" t="inlineStr">
        <is>
          <t>USA</t>
        </is>
      </c>
      <c r="B3" t="inlineStr">
        <is>
          <t>3434</t>
        </is>
      </c>
      <c r="C3" t="inlineStr">
        <is>
          <t>7878</t>
        </is>
      </c>
    </row>
    <row r="4">
      <c r="A4" t="inlineStr">
        <is>
          <t>France</t>
        </is>
      </c>
      <c r="B4" t="inlineStr">
        <is>
          <t>6767</t>
        </is>
      </c>
      <c r="C4" t="inlineStr">
        <is>
          <t>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2026-02-20T14:21:36Z</dcterms:created>
  <dcterms:modified xsi:type="dcterms:W3CDTF">2026-02-20T14:21:36Z</dcterms:modified>
</cp:coreProperties>
</file>